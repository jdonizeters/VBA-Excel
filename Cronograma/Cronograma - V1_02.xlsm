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4db14825f78209/programacao/excel/Minhas Criações/"/>
    </mc:Choice>
  </mc:AlternateContent>
  <xr:revisionPtr revIDLastSave="25" documentId="13_ncr:1_{6427347D-15E6-4A2F-A9A8-E49642AC0458}" xr6:coauthVersionLast="47" xr6:coauthVersionMax="47" xr10:uidLastSave="{A0B1339E-64B4-4317-B1DE-DC3FB8C80AED}"/>
  <bookViews>
    <workbookView xWindow="-108" yWindow="-108" windowWidth="23256" windowHeight="12576" activeTab="2" xr2:uid="{D6A1C6DA-CACA-4480-A0F5-546FDE37AEA9}"/>
  </bookViews>
  <sheets>
    <sheet name="Manual" sheetId="5" r:id="rId1"/>
    <sheet name="Setup" sheetId="2" r:id="rId2"/>
    <sheet name="Exemplo" sheetId="1" r:id="rId3"/>
  </sheets>
  <functionGroups builtInGroupCount="19"/>
  <definedNames>
    <definedName name="lista_status">Setup!$K$5:$K$11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D6" i="1"/>
  <c r="C6" i="1"/>
  <c r="L4" i="1"/>
  <c r="E6" i="1"/>
  <c r="F6" i="1"/>
  <c r="F5" i="1"/>
  <c r="E5" i="1"/>
  <c r="C7" i="1" l="1"/>
  <c r="E7" i="1"/>
  <c r="F7" i="1"/>
  <c r="D8" i="1" l="1"/>
  <c r="C8" i="1"/>
  <c r="E8" i="1"/>
  <c r="F8" i="1"/>
  <c r="D9" i="1" l="1"/>
  <c r="C9" i="1"/>
  <c r="F9" i="1"/>
  <c r="E9" i="1"/>
  <c r="D10" i="1" l="1"/>
  <c r="C10" i="1"/>
  <c r="F10" i="1"/>
  <c r="E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jdrs</author>
  </authors>
  <commentList>
    <comment ref="C5" authorId="0" shapeId="0" xr:uid="{E654426F-95C8-4575-BF66-9CA176320670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Formato deve ser texto</t>
        </r>
      </text>
    </comment>
    <comment ref="E5" authorId="0" shapeId="0" xr:uid="{9C65DA9B-E57B-4FAF-A899-0E99F0518746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Formato deve ser "Data"</t>
        </r>
      </text>
    </comment>
    <comment ref="G5" authorId="0" shapeId="0" xr:uid="{41BFA344-B67E-4141-B06C-D15ABCFD213F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Formato deve ser "Texto". Os dias devem ser expressos em DD/MM onde DD=Dia com dois dígitos e MM=Mês também com dois dígitos</t>
        </r>
      </text>
    </comment>
    <comment ref="K5" authorId="0" shapeId="0" xr:uid="{DD21891C-625A-469D-9574-613EEC6D2230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Formato deve ser "Texto". Os dias devem ser expressos em DD/MM onde DD=Dia com dois dígitos e MM=Mês também com dois dígitos</t>
        </r>
      </text>
    </comment>
    <comment ref="I13" authorId="0" shapeId="0" xr:uid="{A2786FBE-483E-46F2-B438-6F2F0C08CDAE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Formato deve ser "Texto"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jdrs</author>
  </authors>
  <commentList>
    <comment ref="K3" authorId="0" shapeId="0" xr:uid="{11D00E34-3BE1-4740-8C3E-E94AF73575D6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-1 = Alta
0 = Baixa
1 = Normal</t>
        </r>
      </text>
    </comment>
    <comment ref="L3" authorId="0" shapeId="0" xr:uid="{CDFE765B-FD64-4A72-999C-9D129E114A33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Manter preenchido, mesmo com zero para o Excel calcule a média</t>
        </r>
      </text>
    </comment>
    <comment ref="B5" authorId="0" shapeId="0" xr:uid="{6BA19A74-886F-453B-B256-DC29F63A5290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Formato deve ser "Número"</t>
        </r>
      </text>
    </comment>
    <comment ref="C5" authorId="0" shapeId="0" xr:uid="{D12822FC-FE92-41C6-81C2-B8CC2D434E53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Formato deve ser "Data"</t>
        </r>
      </text>
    </comment>
    <comment ref="D5" authorId="0" shapeId="0" xr:uid="{B6B6B953-C77B-4C60-9863-A5A9EDB3B84B}">
      <text>
        <r>
          <rPr>
            <b/>
            <sz val="9"/>
            <color indexed="81"/>
            <rFont val="Segoe UI"/>
            <family val="2"/>
          </rPr>
          <t>jdrs:</t>
        </r>
        <r>
          <rPr>
            <sz val="9"/>
            <color indexed="81"/>
            <rFont val="Segoe UI"/>
            <family val="2"/>
          </rPr>
          <t xml:space="preserve">
Formato deve ser "Texto"</t>
        </r>
      </text>
    </comment>
  </commentList>
</comments>
</file>

<file path=xl/sharedStrings.xml><?xml version="1.0" encoding="utf-8"?>
<sst xmlns="http://schemas.openxmlformats.org/spreadsheetml/2006/main" count="100" uniqueCount="91">
  <si>
    <t>Hora de Trabalho Inicial</t>
  </si>
  <si>
    <t>Hora de Trabalho Final</t>
  </si>
  <si>
    <t>Hora Intervalo Inicial</t>
  </si>
  <si>
    <t>Hora Intervalo Final</t>
  </si>
  <si>
    <t>Atividade</t>
  </si>
  <si>
    <t>17:30</t>
  </si>
  <si>
    <t>12:00</t>
  </si>
  <si>
    <t>13:00</t>
  </si>
  <si>
    <t>Atividade 1</t>
  </si>
  <si>
    <t>08:30</t>
  </si>
  <si>
    <t>Modelo de Cronograma</t>
  </si>
  <si>
    <t>Dias Não Disponíveis</t>
  </si>
  <si>
    <t>Feriados Fixos</t>
  </si>
  <si>
    <t>Dias de Trabalho</t>
  </si>
  <si>
    <t>1=Dom</t>
  </si>
  <si>
    <t>2=Seg</t>
  </si>
  <si>
    <t>3=Ter</t>
  </si>
  <si>
    <t>4=Qua</t>
  </si>
  <si>
    <t>5=Qui</t>
  </si>
  <si>
    <t>6=Sex</t>
  </si>
  <si>
    <t>7=Sab</t>
  </si>
  <si>
    <t>Exemplo: 23456</t>
  </si>
  <si>
    <t>01/01</t>
  </si>
  <si>
    <t>21/04</t>
  </si>
  <si>
    <t>01/05</t>
  </si>
  <si>
    <t>07/09</t>
  </si>
  <si>
    <t>12/10</t>
  </si>
  <si>
    <t>02/11</t>
  </si>
  <si>
    <t>15/11</t>
  </si>
  <si>
    <t>25/12</t>
  </si>
  <si>
    <t>Horários</t>
  </si>
  <si>
    <t>ATIVIDADE MARCO</t>
  </si>
  <si>
    <t>Solicitante</t>
  </si>
  <si>
    <t>Responsável</t>
  </si>
  <si>
    <t>Status</t>
  </si>
  <si>
    <t>% Concluído</t>
  </si>
  <si>
    <t>Função Cronograma</t>
  </si>
  <si>
    <t>cHrNorIni</t>
  </si>
  <si>
    <t xml:space="preserve"> cHrNorFim</t>
  </si>
  <si>
    <t xml:space="preserve"> cHrIntIni</t>
  </si>
  <si>
    <t xml:space="preserve"> cHrIntFim</t>
  </si>
  <si>
    <t xml:space="preserve"> cHrIni</t>
  </si>
  <si>
    <t xml:space="preserve"> nRet</t>
  </si>
  <si>
    <t xml:space="preserve"> DatasNaoDisponiveis</t>
  </si>
  <si>
    <t xml:space="preserve"> cSemana</t>
  </si>
  <si>
    <t xml:space="preserve"> FeriadosFixos</t>
  </si>
  <si>
    <t>Horário inicio de trabalho</t>
  </si>
  <si>
    <t>Horário final de trabalho</t>
  </si>
  <si>
    <t>Horário inicio de intervalo</t>
  </si>
  <si>
    <t>Horário final de intervalo</t>
  </si>
  <si>
    <t>Data de início da tarefa</t>
  </si>
  <si>
    <t>Hora de início da tarefa</t>
  </si>
  <si>
    <t>Duração da tarefa</t>
  </si>
  <si>
    <t>Tipo de Retorno: 1=Data de término da tarefa, 2=Hora de término no formato numérico, 3=Hora de término no formato texto</t>
  </si>
  <si>
    <t>Faixa de células que contém os dias não disponíveis para trabalho</t>
  </si>
  <si>
    <t>Define os dias de trabalho de 1=Domingo a 7=Sábado, basta preencher com os dias a serem considerados disponíveis, exemplo: 23456 (segunda a sexta)</t>
  </si>
  <si>
    <t>Faixa de células que contém os feriados fixos no formado DD/MM onde DD=Dia e MM=Mês, sempre com dois dígitos</t>
  </si>
  <si>
    <t>Parâmetro</t>
  </si>
  <si>
    <t>Tipo</t>
  </si>
  <si>
    <t>Descrição</t>
  </si>
  <si>
    <t>Texto</t>
  </si>
  <si>
    <t>Data</t>
  </si>
  <si>
    <t>Numérico</t>
  </si>
  <si>
    <t>Range</t>
  </si>
  <si>
    <t xml:space="preserve"> dDataIni</t>
  </si>
  <si>
    <r>
      <rPr>
        <b/>
        <sz val="14"/>
        <color theme="1"/>
        <rFont val="Calibri"/>
        <family val="2"/>
        <scheme val="minor"/>
      </rPr>
      <t>Cronograma</t>
    </r>
    <r>
      <rPr>
        <sz val="11"/>
        <color theme="1"/>
        <rFont val="Calibri"/>
        <family val="2"/>
        <scheme val="minor"/>
      </rPr>
      <t>(cHrNorIni, cHrNorFim, cHrIntIni, cHrIntFim, dDataIni, cHrIni, nDurTar, nRet, DatasNaoDisponiveis, cSemana, FeriadosFixos)</t>
    </r>
  </si>
  <si>
    <t xml:space="preserve"> nDurTar</t>
  </si>
  <si>
    <t>Não Iniciado</t>
  </si>
  <si>
    <t>Iniciado</t>
  </si>
  <si>
    <t>Aguardando Validação</t>
  </si>
  <si>
    <t>Aguardando Informações</t>
  </si>
  <si>
    <t>Cancelado</t>
  </si>
  <si>
    <t>Concluído</t>
  </si>
  <si>
    <t>Adiado</t>
  </si>
  <si>
    <t>Criticidade</t>
  </si>
  <si>
    <t>Sobre</t>
  </si>
  <si>
    <t>Setup do Cronograma</t>
  </si>
  <si>
    <t>Observações</t>
  </si>
  <si>
    <t>Versão 1.02 - Jan/19</t>
  </si>
  <si>
    <t>Função criada por Donizete (jdonizeters@gmail.com) em 28/12/18</t>
  </si>
  <si>
    <t>2345</t>
  </si>
  <si>
    <t>Dur</t>
  </si>
  <si>
    <t>Ini</t>
  </si>
  <si>
    <t>Hr.Ini</t>
  </si>
  <si>
    <t>Fim</t>
  </si>
  <si>
    <t>HrFim</t>
  </si>
  <si>
    <t>Atividade 2</t>
  </si>
  <si>
    <t>Atividade 3</t>
  </si>
  <si>
    <t>Atividade 4</t>
  </si>
  <si>
    <t>Atividade 5</t>
  </si>
  <si>
    <t>Atividade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</si>
</sst>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20" fontId="0" fillId="0" borderId="1" xfId="0" applyNumberFormat="1" applyBorder="1"/>
    <xf numFmtId="1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4" fillId="0" borderId="0" xfId="0" applyFont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8" fillId="0" borderId="0" xfId="0" applyFont="1"/>
    <xf numFmtId="49" fontId="0" fillId="0" borderId="1" xfId="0" applyNumberFormat="1" applyBorder="1" applyAlignment="1"/>
    <xf numFmtId="0" fontId="7" fillId="0" borderId="0" xfId="0" applyFont="1"/>
    <xf numFmtId="0" fontId="1" fillId="0" borderId="1" xfId="0" applyFont="1" applyBorder="1" applyAlignment="1">
      <alignment horizontal="left" vertical="top"/>
    </xf>
    <xf numFmtId="2" fontId="1" fillId="0" borderId="1" xfId="0" applyNumberFormat="1" applyFont="1" applyBorder="1" applyAlignment="1">
      <alignment vertical="top"/>
    </xf>
    <xf numFmtId="14" fontId="1" fillId="0" borderId="1" xfId="0" applyNumberFormat="1" applyFont="1" applyBorder="1" applyAlignment="1">
      <alignment horizontal="center" vertical="top"/>
    </xf>
    <xf numFmtId="49" fontId="1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164" fontId="1" fillId="0" borderId="1" xfId="1" applyNumberFormat="1" applyFont="1" applyBorder="1" applyAlignment="1">
      <alignment vertical="top"/>
    </xf>
    <xf numFmtId="0" fontId="0" fillId="0" borderId="1" xfId="0" applyBorder="1" applyAlignment="1">
      <alignment horizontal="left" vertical="top"/>
    </xf>
    <xf numFmtId="2" fontId="0" fillId="0" borderId="1" xfId="0" applyNumberFormat="1" applyBorder="1" applyAlignment="1">
      <alignment vertical="top"/>
    </xf>
    <xf numFmtId="14" fontId="0" fillId="0" borderId="1" xfId="0" applyNumberFormat="1" applyBorder="1" applyAlignment="1">
      <alignment horizontal="center" vertical="top"/>
    </xf>
    <xf numFmtId="49" fontId="0" fillId="0" borderId="1" xfId="0" applyNumberFormat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left" vertical="top"/>
    </xf>
    <xf numFmtId="164" fontId="2" fillId="0" borderId="1" xfId="1" applyNumberFormat="1" applyFont="1" applyBorder="1" applyAlignment="1">
      <alignment vertical="top"/>
    </xf>
    <xf numFmtId="0" fontId="1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 indent="1"/>
    </xf>
    <xf numFmtId="0" fontId="0" fillId="0" borderId="1" xfId="0" applyFont="1" applyBorder="1" applyAlignment="1">
      <alignment horizontal="left" vertical="top" wrapText="1"/>
    </xf>
    <xf numFmtId="0" fontId="3" fillId="3" borderId="1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6EFE9-1CC1-4CE3-A917-14E2D8CA8501}">
  <sheetPr codeName="Planilha4"/>
  <dimension ref="B2:G23"/>
  <sheetViews>
    <sheetView showGridLines="0" zoomScale="140" zoomScaleNormal="140" workbookViewId="0">
      <selection activeCell="B20" sqref="B20"/>
    </sheetView>
  </sheetViews>
  <sheetFormatPr defaultRowHeight="14.4" x14ac:dyDescent="0.3"/>
  <cols>
    <col min="1" max="1" width="2.109375" customWidth="1"/>
  </cols>
  <sheetData>
    <row r="2" spans="2:7" ht="21" x14ac:dyDescent="0.4">
      <c r="B2" s="8" t="s">
        <v>36</v>
      </c>
    </row>
    <row r="4" spans="2:7" ht="18" x14ac:dyDescent="0.35">
      <c r="B4" t="s">
        <v>65</v>
      </c>
    </row>
    <row r="7" spans="2:7" x14ac:dyDescent="0.3">
      <c r="B7" s="11"/>
      <c r="C7" s="11" t="s">
        <v>57</v>
      </c>
      <c r="F7" t="s">
        <v>58</v>
      </c>
      <c r="G7" t="s">
        <v>59</v>
      </c>
    </row>
    <row r="8" spans="2:7" x14ac:dyDescent="0.3">
      <c r="C8" t="s">
        <v>37</v>
      </c>
      <c r="F8" t="s">
        <v>60</v>
      </c>
      <c r="G8" t="s">
        <v>46</v>
      </c>
    </row>
    <row r="9" spans="2:7" x14ac:dyDescent="0.3">
      <c r="C9" t="s">
        <v>38</v>
      </c>
      <c r="F9" t="s">
        <v>60</v>
      </c>
      <c r="G9" t="s">
        <v>47</v>
      </c>
    </row>
    <row r="10" spans="2:7" x14ac:dyDescent="0.3">
      <c r="C10" t="s">
        <v>39</v>
      </c>
      <c r="F10" t="s">
        <v>60</v>
      </c>
      <c r="G10" t="s">
        <v>48</v>
      </c>
    </row>
    <row r="11" spans="2:7" x14ac:dyDescent="0.3">
      <c r="C11" t="s">
        <v>40</v>
      </c>
      <c r="F11" t="s">
        <v>60</v>
      </c>
      <c r="G11" t="s">
        <v>49</v>
      </c>
    </row>
    <row r="12" spans="2:7" x14ac:dyDescent="0.3">
      <c r="C12" t="s">
        <v>64</v>
      </c>
      <c r="F12" t="s">
        <v>61</v>
      </c>
      <c r="G12" t="s">
        <v>50</v>
      </c>
    </row>
    <row r="13" spans="2:7" x14ac:dyDescent="0.3">
      <c r="C13" t="s">
        <v>41</v>
      </c>
      <c r="F13" t="s">
        <v>60</v>
      </c>
      <c r="G13" t="s">
        <v>51</v>
      </c>
    </row>
    <row r="14" spans="2:7" x14ac:dyDescent="0.3">
      <c r="C14" t="s">
        <v>66</v>
      </c>
      <c r="F14" t="s">
        <v>62</v>
      </c>
      <c r="G14" t="s">
        <v>52</v>
      </c>
    </row>
    <row r="15" spans="2:7" x14ac:dyDescent="0.3">
      <c r="C15" t="s">
        <v>42</v>
      </c>
      <c r="F15" t="s">
        <v>62</v>
      </c>
      <c r="G15" t="s">
        <v>53</v>
      </c>
    </row>
    <row r="16" spans="2:7" x14ac:dyDescent="0.3">
      <c r="C16" t="s">
        <v>43</v>
      </c>
      <c r="F16" t="s">
        <v>63</v>
      </c>
      <c r="G16" t="s">
        <v>54</v>
      </c>
    </row>
    <row r="17" spans="2:7" x14ac:dyDescent="0.3">
      <c r="C17" t="s">
        <v>44</v>
      </c>
      <c r="F17" t="s">
        <v>60</v>
      </c>
      <c r="G17" t="s">
        <v>55</v>
      </c>
    </row>
    <row r="18" spans="2:7" x14ac:dyDescent="0.3">
      <c r="C18" t="s">
        <v>45</v>
      </c>
      <c r="F18" t="s">
        <v>63</v>
      </c>
      <c r="G18" t="s">
        <v>56</v>
      </c>
    </row>
    <row r="21" spans="2:7" ht="18" x14ac:dyDescent="0.35">
      <c r="B21" s="13" t="s">
        <v>75</v>
      </c>
    </row>
    <row r="22" spans="2:7" x14ac:dyDescent="0.3">
      <c r="C22" t="s">
        <v>79</v>
      </c>
    </row>
    <row r="23" spans="2:7" x14ac:dyDescent="0.3">
      <c r="C23" t="s">
        <v>78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D3960-DD78-4CA7-BAC6-864CC85CC221}">
  <sheetPr codeName="Planilha2"/>
  <dimension ref="B2:K19"/>
  <sheetViews>
    <sheetView showGridLines="0" zoomScale="139" zoomScaleNormal="139" workbookViewId="0">
      <selection activeCell="I13" sqref="I13"/>
    </sheetView>
  </sheetViews>
  <sheetFormatPr defaultRowHeight="14.4" x14ac:dyDescent="0.3"/>
  <cols>
    <col min="1" max="1" width="1.44140625" customWidth="1"/>
    <col min="2" max="2" width="25.5546875" customWidth="1"/>
    <col min="3" max="3" width="11.5546875" customWidth="1"/>
    <col min="4" max="4" width="1.77734375" customWidth="1"/>
    <col min="5" max="5" width="23" customWidth="1"/>
    <col min="6" max="6" width="1.77734375" customWidth="1"/>
    <col min="7" max="7" width="23" customWidth="1"/>
    <col min="8" max="8" width="1.77734375" customWidth="1"/>
    <col min="9" max="9" width="23" customWidth="1"/>
    <col min="10" max="10" width="1.77734375" customWidth="1"/>
    <col min="11" max="11" width="21.88671875" bestFit="1" customWidth="1"/>
  </cols>
  <sheetData>
    <row r="2" spans="2:11" ht="21" x14ac:dyDescent="0.4">
      <c r="B2" s="8" t="s">
        <v>76</v>
      </c>
    </row>
    <row r="3" spans="2:11" ht="9.6" customHeight="1" x14ac:dyDescent="0.3"/>
    <row r="4" spans="2:11" x14ac:dyDescent="0.3">
      <c r="B4" s="30" t="s">
        <v>30</v>
      </c>
      <c r="C4" s="30"/>
      <c r="E4" s="10" t="s">
        <v>11</v>
      </c>
      <c r="G4" s="10" t="s">
        <v>12</v>
      </c>
      <c r="I4" s="10" t="s">
        <v>13</v>
      </c>
      <c r="K4" s="10" t="s">
        <v>34</v>
      </c>
    </row>
    <row r="5" spans="2:11" x14ac:dyDescent="0.3">
      <c r="B5" s="1" t="s">
        <v>0</v>
      </c>
      <c r="C5" s="4" t="s">
        <v>9</v>
      </c>
      <c r="E5" s="3"/>
      <c r="G5" s="4" t="s">
        <v>22</v>
      </c>
      <c r="I5" s="5" t="s">
        <v>14</v>
      </c>
      <c r="K5" s="12" t="s">
        <v>67</v>
      </c>
    </row>
    <row r="6" spans="2:11" x14ac:dyDescent="0.3">
      <c r="B6" s="1" t="s">
        <v>1</v>
      </c>
      <c r="C6" s="4" t="s">
        <v>5</v>
      </c>
      <c r="E6" s="3"/>
      <c r="G6" s="4" t="s">
        <v>23</v>
      </c>
      <c r="I6" s="5" t="s">
        <v>15</v>
      </c>
      <c r="K6" s="12" t="s">
        <v>68</v>
      </c>
    </row>
    <row r="7" spans="2:11" x14ac:dyDescent="0.3">
      <c r="B7" s="2" t="s">
        <v>2</v>
      </c>
      <c r="C7" s="4" t="s">
        <v>6</v>
      </c>
      <c r="E7" s="1"/>
      <c r="G7" s="4" t="s">
        <v>24</v>
      </c>
      <c r="I7" s="5" t="s">
        <v>16</v>
      </c>
      <c r="K7" s="12" t="s">
        <v>69</v>
      </c>
    </row>
    <row r="8" spans="2:11" x14ac:dyDescent="0.3">
      <c r="B8" s="1" t="s">
        <v>3</v>
      </c>
      <c r="C8" s="4" t="s">
        <v>7</v>
      </c>
      <c r="E8" s="1"/>
      <c r="G8" s="4" t="s">
        <v>25</v>
      </c>
      <c r="I8" s="5" t="s">
        <v>17</v>
      </c>
      <c r="K8" s="12" t="s">
        <v>70</v>
      </c>
    </row>
    <row r="9" spans="2:11" x14ac:dyDescent="0.3">
      <c r="E9" s="1"/>
      <c r="G9" s="4" t="s">
        <v>26</v>
      </c>
      <c r="I9" s="5" t="s">
        <v>18</v>
      </c>
      <c r="K9" s="12" t="s">
        <v>71</v>
      </c>
    </row>
    <row r="10" spans="2:11" x14ac:dyDescent="0.3">
      <c r="E10" s="1"/>
      <c r="G10" s="4" t="s">
        <v>27</v>
      </c>
      <c r="I10" s="5" t="s">
        <v>19</v>
      </c>
      <c r="K10" s="12" t="s">
        <v>72</v>
      </c>
    </row>
    <row r="11" spans="2:11" x14ac:dyDescent="0.3">
      <c r="E11" s="1"/>
      <c r="G11" s="4" t="s">
        <v>28</v>
      </c>
      <c r="I11" s="5" t="s">
        <v>20</v>
      </c>
      <c r="K11" s="12" t="s">
        <v>73</v>
      </c>
    </row>
    <row r="12" spans="2:11" x14ac:dyDescent="0.3">
      <c r="E12" s="1"/>
      <c r="G12" s="4" t="s">
        <v>29</v>
      </c>
      <c r="I12" s="6" t="s">
        <v>21</v>
      </c>
    </row>
    <row r="13" spans="2:11" x14ac:dyDescent="0.3">
      <c r="E13" s="1"/>
      <c r="G13" s="4"/>
      <c r="I13" s="7" t="s">
        <v>80</v>
      </c>
    </row>
    <row r="14" spans="2:11" x14ac:dyDescent="0.3">
      <c r="E14" s="1"/>
      <c r="G14" s="4"/>
    </row>
    <row r="15" spans="2:11" x14ac:dyDescent="0.3">
      <c r="E15" s="1"/>
      <c r="G15" s="4"/>
    </row>
    <row r="16" spans="2:11" x14ac:dyDescent="0.3">
      <c r="E16" s="1"/>
      <c r="G16" s="4"/>
    </row>
    <row r="17" spans="5:7" x14ac:dyDescent="0.3">
      <c r="E17" s="1"/>
      <c r="G17" s="4"/>
    </row>
    <row r="18" spans="5:7" x14ac:dyDescent="0.3">
      <c r="E18" s="1"/>
      <c r="G18" s="4"/>
    </row>
    <row r="19" spans="5:7" x14ac:dyDescent="0.3">
      <c r="E19" s="1"/>
      <c r="G19" s="4"/>
    </row>
  </sheetData>
  <mergeCells count="1">
    <mergeCell ref="B4:C4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FF04E-A3B2-4F8C-B1EF-81FE04581C75}">
  <sheetPr codeName="Planilha1"/>
  <dimension ref="A1:L10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7" sqref="A7"/>
    </sheetView>
  </sheetViews>
  <sheetFormatPr defaultRowHeight="14.4" x14ac:dyDescent="0.3"/>
  <cols>
    <col min="1" max="1" width="43" customWidth="1"/>
    <col min="2" max="2" width="11.109375" customWidth="1"/>
    <col min="3" max="3" width="13.44140625" customWidth="1"/>
    <col min="4" max="4" width="12.109375" customWidth="1"/>
    <col min="5" max="5" width="13.44140625" customWidth="1"/>
    <col min="6" max="6" width="12.109375" customWidth="1"/>
    <col min="7" max="10" width="15.77734375" customWidth="1"/>
    <col min="11" max="11" width="9.88671875" bestFit="1" customWidth="1"/>
    <col min="12" max="12" width="15.77734375" customWidth="1"/>
  </cols>
  <sheetData>
    <row r="1" spans="1:12" ht="21" x14ac:dyDescent="0.4">
      <c r="A1" s="8" t="s">
        <v>10</v>
      </c>
      <c r="G1" s="8"/>
      <c r="H1" s="8"/>
      <c r="I1" s="8"/>
      <c r="J1" s="8"/>
      <c r="K1" s="8"/>
      <c r="L1" s="8"/>
    </row>
    <row r="3" spans="1:12" x14ac:dyDescent="0.3">
      <c r="A3" s="9" t="s">
        <v>4</v>
      </c>
      <c r="B3" s="9" t="s">
        <v>81</v>
      </c>
      <c r="C3" s="10" t="s">
        <v>82</v>
      </c>
      <c r="D3" s="10" t="s">
        <v>83</v>
      </c>
      <c r="E3" s="10" t="s">
        <v>84</v>
      </c>
      <c r="F3" s="10" t="s">
        <v>85</v>
      </c>
      <c r="G3" s="9" t="s">
        <v>32</v>
      </c>
      <c r="H3" s="9" t="s">
        <v>33</v>
      </c>
      <c r="I3" s="9" t="s">
        <v>34</v>
      </c>
      <c r="J3" s="9" t="s">
        <v>77</v>
      </c>
      <c r="K3" s="9" t="s">
        <v>74</v>
      </c>
      <c r="L3" s="9" t="s">
        <v>35</v>
      </c>
    </row>
    <row r="4" spans="1:12" x14ac:dyDescent="0.3">
      <c r="A4" s="27" t="s">
        <v>31</v>
      </c>
      <c r="B4" s="15"/>
      <c r="C4" s="16"/>
      <c r="D4" s="17"/>
      <c r="E4" s="16"/>
      <c r="F4" s="16"/>
      <c r="G4" s="14"/>
      <c r="H4" s="14"/>
      <c r="I4" s="14"/>
      <c r="J4" s="27"/>
      <c r="K4" s="18">
        <v>1</v>
      </c>
      <c r="L4" s="19">
        <f>IFERROR(AVERAGE(L5:L6),0)</f>
        <v>0</v>
      </c>
    </row>
    <row r="5" spans="1:12" x14ac:dyDescent="0.3">
      <c r="A5" s="28" t="s">
        <v>8</v>
      </c>
      <c r="B5" s="21">
        <v>10</v>
      </c>
      <c r="C5" s="22">
        <v>44434</v>
      </c>
      <c r="D5" s="23" t="s">
        <v>9</v>
      </c>
      <c r="E5" s="24">
        <f>Cronograma(Setup!$C$5,Setup!$C$6,Setup!$C$7,Setup!$C$8,$C5,$D5,$B5,1,Setup!$E$5:$E$19,Setup!$I$13,Setup!$G$5:$G$19)</f>
        <v>44438</v>
      </c>
      <c r="F5" s="24" t="str">
        <f>Cronograma(Setup!$C$5,Setup!$C$6,Setup!$C$7,Setup!$C$8,$C5,$D5,$B5,3,Setup!$E$5:$E$19,Setup!$I$13,Setup!$G$5:$G$19)</f>
        <v>10:30</v>
      </c>
      <c r="G5" s="20"/>
      <c r="H5" s="20"/>
      <c r="I5" s="25"/>
      <c r="J5" s="29"/>
      <c r="K5" s="18">
        <v>1</v>
      </c>
      <c r="L5" s="26">
        <v>0</v>
      </c>
    </row>
    <row r="6" spans="1:12" x14ac:dyDescent="0.3">
      <c r="A6" s="28" t="s">
        <v>86</v>
      </c>
      <c r="B6" s="21">
        <v>8</v>
      </c>
      <c r="C6" s="22">
        <f>E5</f>
        <v>44438</v>
      </c>
      <c r="D6" s="22" t="str">
        <f>F5</f>
        <v>10:30</v>
      </c>
      <c r="E6" s="24">
        <f>Cronograma(Setup!$C$5,Setup!$C$6,Setup!$C$7,Setup!$C$8,$C6,$D6,$B6,1,Setup!$E$5:$E$19,Setup!$I$13,Setup!$G$5:$G$19)</f>
        <v>44439</v>
      </c>
      <c r="F6" s="24" t="str">
        <f>Cronograma(Setup!$C$5,Setup!$C$6,Setup!$C$7,Setup!$C$8,$C6,$D6,$B6,3,Setup!$E$5:$E$19,Setup!$I$13,Setup!$G$5:$G$19)</f>
        <v>10:30</v>
      </c>
      <c r="G6" s="20"/>
      <c r="H6" s="20"/>
      <c r="I6" s="25"/>
      <c r="J6" s="29"/>
      <c r="K6" s="18">
        <v>1</v>
      </c>
      <c r="L6" s="26">
        <v>0</v>
      </c>
    </row>
    <row r="7" spans="1:12" x14ac:dyDescent="0.3">
      <c r="A7" s="28" t="s">
        <v>87</v>
      </c>
      <c r="B7" s="21">
        <v>4</v>
      </c>
      <c r="C7" s="22">
        <f t="shared" ref="C7:C10" si="0">E6</f>
        <v>44439</v>
      </c>
      <c r="D7" s="22" t="str">
        <f t="shared" ref="D7:D10" si="1">F6</f>
        <v>10:30</v>
      </c>
      <c r="E7" s="24">
        <f>Cronograma(Setup!$C$5,Setup!$C$6,Setup!$C$7,Setup!$C$8,$C7,$D7,$B7,1,Setup!$E$5:$E$19,Setup!$I$13,Setup!$G$5:$G$19)</f>
        <v>44439</v>
      </c>
      <c r="F7" s="24" t="str">
        <f>Cronograma(Setup!$C$5,Setup!$C$6,Setup!$C$7,Setup!$C$8,$C7,$D7,$B7,3,Setup!$E$5:$E$19,Setup!$I$13,Setup!$G$5:$G$19)</f>
        <v>15:30</v>
      </c>
      <c r="G7" s="20"/>
      <c r="H7" s="20"/>
      <c r="I7" s="25"/>
      <c r="J7" s="29"/>
      <c r="K7" s="18">
        <v>1</v>
      </c>
      <c r="L7" s="26">
        <v>0</v>
      </c>
    </row>
    <row r="8" spans="1:12" x14ac:dyDescent="0.3">
      <c r="A8" s="28" t="s">
        <v>88</v>
      </c>
      <c r="B8" s="21">
        <v>2</v>
      </c>
      <c r="C8" s="22">
        <f t="shared" si="0"/>
        <v>44439</v>
      </c>
      <c r="D8" s="22" t="str">
        <f t="shared" si="1"/>
        <v>15:30</v>
      </c>
      <c r="E8" s="24">
        <f>Cronograma(Setup!$C$5,Setup!$C$6,Setup!$C$7,Setup!$C$8,$C8,$D8,$B8,1,Setup!$E$5:$E$19,Setup!$I$13,Setup!$G$5:$G$19)</f>
        <v>44439</v>
      </c>
      <c r="F8" s="24" t="str">
        <f>Cronograma(Setup!$C$5,Setup!$C$6,Setup!$C$7,Setup!$C$8,$C8,$D8,$B8,3,Setup!$E$5:$E$19,Setup!$I$13,Setup!$G$5:$G$19)</f>
        <v>17:30</v>
      </c>
      <c r="G8" s="20"/>
      <c r="H8" s="20"/>
      <c r="I8" s="25"/>
      <c r="J8" s="29"/>
      <c r="K8" s="18">
        <v>1</v>
      </c>
      <c r="L8" s="26">
        <v>0</v>
      </c>
    </row>
    <row r="9" spans="1:12" x14ac:dyDescent="0.3">
      <c r="A9" s="28" t="s">
        <v>89</v>
      </c>
      <c r="B9" s="21">
        <v>1</v>
      </c>
      <c r="C9" s="22">
        <f t="shared" si="0"/>
        <v>44439</v>
      </c>
      <c r="D9" s="22" t="str">
        <f t="shared" si="1"/>
        <v>17:30</v>
      </c>
      <c r="E9" s="24">
        <f>Cronograma(Setup!$C$5,Setup!$C$6,Setup!$C$7,Setup!$C$8,$C9,$D9,$B9,1,Setup!$E$5:$E$19,Setup!$I$13,Setup!$G$5:$G$19)</f>
        <v>44440</v>
      </c>
      <c r="F9" s="24" t="str">
        <f>Cronograma(Setup!$C$5,Setup!$C$6,Setup!$C$7,Setup!$C$8,$C9,$D9,$B9,3,Setup!$E$5:$E$19,Setup!$I$13,Setup!$G$5:$G$19)</f>
        <v>09:30</v>
      </c>
      <c r="G9" s="20"/>
      <c r="H9" s="20"/>
      <c r="I9" s="25"/>
      <c r="J9" s="29"/>
      <c r="K9" s="18">
        <v>1</v>
      </c>
      <c r="L9" s="26">
        <v>0</v>
      </c>
    </row>
    <row r="10" spans="1:12" x14ac:dyDescent="0.3">
      <c r="A10" s="28" t="s">
        <v>90</v>
      </c>
      <c r="B10" s="21">
        <v>5</v>
      </c>
      <c r="C10" s="22">
        <f t="shared" si="0"/>
        <v>44440</v>
      </c>
      <c r="D10" s="22" t="str">
        <f t="shared" si="1"/>
        <v>09:30</v>
      </c>
      <c r="E10" s="24">
        <f>Cronograma(Setup!$C$5,Setup!$C$6,Setup!$C$7,Setup!$C$8,$C10,$D10,$B10,1,Setup!$E$5:$E$19,Setup!$I$13,Setup!$G$5:$G$19)</f>
        <v>44440</v>
      </c>
      <c r="F10" s="24" t="str">
        <f>Cronograma(Setup!$C$5,Setup!$C$6,Setup!$C$7,Setup!$C$8,$C10,$D10,$B10,3,Setup!$E$5:$E$19,Setup!$I$13,Setup!$G$5:$G$19)</f>
        <v>15:30</v>
      </c>
      <c r="G10" s="20"/>
      <c r="H10" s="20"/>
      <c r="I10" s="25"/>
      <c r="J10" s="29"/>
      <c r="K10" s="18">
        <v>1</v>
      </c>
      <c r="L10" s="26">
        <v>0</v>
      </c>
    </row>
  </sheetData>
  <phoneticPr fontId="9" type="noConversion"/>
  <conditionalFormatting sqref="L4">
    <cfRule type="dataBar" priority="11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{F8FA9F36-50D0-45CE-BC0B-A70D48096551}</x14:id>
        </ext>
      </extLst>
    </cfRule>
  </conditionalFormatting>
  <conditionalFormatting sqref="L5:L6">
    <cfRule type="dataBar" priority="10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{256AA38D-1DAF-4E97-9477-813CB4782CDA}</x14:id>
        </ext>
      </extLst>
    </cfRule>
  </conditionalFormatting>
  <conditionalFormatting sqref="K4:K6">
    <cfRule type="iconSet" priority="3">
      <iconSet iconSet="3Flags" showValue="0">
        <cfvo type="percent" val="0"/>
        <cfvo type="percent" val="33"/>
        <cfvo type="percent" val="67"/>
      </iconSet>
    </cfRule>
  </conditionalFormatting>
  <conditionalFormatting sqref="L7:L10">
    <cfRule type="dataBar" priority="2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{DABF6BD4-1059-4899-8BE6-F3BCC4D83F80}</x14:id>
        </ext>
      </extLst>
    </cfRule>
  </conditionalFormatting>
  <conditionalFormatting sqref="K7:K10">
    <cfRule type="iconSet" priority="1">
      <iconSet iconSet="3Flags" showValue="0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errorTitle="Erro" error="Valor inválido" sqref="I4:I10" xr:uid="{426712FE-32DD-4B42-AB49-B7FF18D7AAF6}">
      <formula1>lista_status</formula1>
    </dataValidation>
    <dataValidation type="list" allowBlank="1" showInputMessage="1" showErrorMessage="1" sqref="K4:K10" xr:uid="{9F6841C1-50A3-46C3-B925-F1B3AFEE43E9}">
      <formula1>"-1,0,1"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FA9F36-50D0-45CE-BC0B-A70D48096551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56AA38D-1DAF-4E97-9477-813CB4782CDA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L5:L6</xm:sqref>
        </x14:conditionalFormatting>
        <x14:conditionalFormatting xmlns:xm="http://schemas.microsoft.com/office/excel/2006/main">
          <x14:cfRule type="dataBar" id="{DABF6BD4-1059-4899-8BE6-F3BCC4D83F80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L7:L10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Manual</vt:lpstr>
      <vt:lpstr>Setup</vt:lpstr>
      <vt:lpstr>Exemplo</vt:lpstr>
      <vt:lpstr>lista_status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jdrs</dc:creator>
  <cp:lastModifiedBy>José Donizete dos Reis Silva</cp:lastModifiedBy>
  <dcterms:created xsi:type="dcterms:W3CDTF">2018-12-27T15:50:57Z</dcterms:created>
  <dcterms:modified xsi:type="dcterms:W3CDTF">2021-08-25T19:58:38Z</dcterms:modified>
</cp:coreProperties>
</file>